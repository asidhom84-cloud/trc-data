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 Tables" sheetId="2" state="visible" r:id="rId2"/>
    <sheet name="Weekly Ala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AAABB"/>
      <sz val="10"/>
    </font>
    <font>
      <name val="Arial"/>
      <b val="1"/>
      <color rgb="00FFFFFF"/>
      <sz val="12"/>
    </font>
    <font>
      <name val="Arial"/>
      <color rgb="00000000"/>
      <sz val="11"/>
    </font>
    <font>
      <name val="Arial"/>
      <b val="1"/>
      <color rgb="00FF6600"/>
      <sz val="11"/>
    </font>
    <font>
      <name val="Arial"/>
      <b val="1"/>
      <color rgb="00059669"/>
      <sz val="11"/>
    </font>
    <font>
      <name val="Arial"/>
      <b val="1"/>
      <color rgb="00DC2626"/>
      <sz val="11"/>
    </font>
    <font>
      <name val="Arial"/>
      <b val="1"/>
      <color rgb="002563EB"/>
      <sz val="11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DC2626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DC2626"/>
      <sz val="10"/>
    </font>
    <font>
      <name val="Arial"/>
      <b val="1"/>
      <color rgb="00059669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0F1C2E"/>
      </patternFill>
    </fill>
    <fill>
      <patternFill patternType="solid">
        <fgColor rgb="001A2E4A"/>
      </patternFill>
    </fill>
    <fill>
      <patternFill patternType="solid">
        <fgColor rgb="002563EB"/>
      </patternFill>
    </fill>
    <fill>
      <patternFill patternType="solid">
        <fgColor rgb="00FFF0E6"/>
      </patternFill>
    </fill>
  </fills>
  <borders count="6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  <border>
      <left/>
      <right/>
      <top style="thin">
        <color rgb="00E3E8F0"/>
      </top>
      <bottom/>
      <diagonal/>
    </border>
    <border>
      <left/>
      <right style="thin">
        <color rgb="00E3E8F0"/>
      </right>
      <top style="thin">
        <color rgb="00E3E8F0"/>
      </top>
      <bottom/>
      <diagonal/>
    </border>
    <border>
      <left/>
      <right/>
      <top style="thin">
        <color rgb="00E3E8F0"/>
      </top>
      <bottom style="thin">
        <color rgb="00E3E8F0"/>
      </bottom>
      <diagonal/>
    </border>
    <border>
      <left/>
      <right style="thin">
        <color rgb="00E3E8F0"/>
      </right>
      <top style="thin">
        <color rgb="00E3E8F0"/>
      </top>
      <bottom style="thin">
        <color rgb="00E3E8F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</cols>
  <sheetData>
    <row r="1" ht="30" customHeight="1">
      <c r="A1" s="1" t="inlineStr">
        <is>
          <t>Energy Operations Dash Board July 2026 (NetEco)</t>
        </is>
      </c>
    </row>
    <row r="2">
      <c r="A2" s="2">
        <f>=&gt; The road to green energy</f>
        <v/>
      </c>
    </row>
    <row r="4">
      <c r="A4" s="3" t="inlineStr">
        <is>
          <t>DG Fuel Consumption — Hybrid Sites Only</t>
        </is>
      </c>
      <c r="B4" s="4" t="n"/>
      <c r="C4" s="4" t="n"/>
      <c r="D4" s="4" t="n"/>
      <c r="E4" s="4" t="n"/>
      <c r="F4" s="5" t="n"/>
    </row>
    <row r="5">
      <c r="A5" s="6" t="inlineStr">
        <is>
          <t>Total Hybrid Sites</t>
        </is>
      </c>
      <c r="B5" s="7" t="n">
        <v>73</v>
      </c>
    </row>
    <row r="6">
      <c r="A6" s="6" t="inlineStr">
        <is>
          <t>Working Generators</t>
        </is>
      </c>
      <c r="B6" s="8" t="n">
        <v>17</v>
      </c>
    </row>
    <row r="7">
      <c r="A7" s="6" t="inlineStr">
        <is>
          <t>Faulty / No-data</t>
        </is>
      </c>
      <c r="B7" s="9" t="n">
        <v>56</v>
      </c>
    </row>
    <row r="8">
      <c r="A8" s="6" t="inlineStr">
        <is>
          <t>Total Fuel Consumed (L)</t>
        </is>
      </c>
      <c r="B8" s="10" t="n">
        <v>632.4</v>
      </c>
    </row>
    <row r="9">
      <c r="A9" s="6" t="inlineStr">
        <is>
          <t>Avg Daily per DG (L/day)</t>
        </is>
      </c>
      <c r="B9" s="11" t="n">
        <v>37.2</v>
      </c>
    </row>
    <row r="11">
      <c r="A11" s="12" t="inlineStr">
        <is>
          <t>Fuel Consumption Buckets (L/day)</t>
        </is>
      </c>
      <c r="B11" s="4" t="n"/>
      <c r="C11" s="4" t="n"/>
      <c r="D11" s="5" t="n"/>
    </row>
    <row r="12">
      <c r="A12" s="13" t="inlineStr">
        <is>
          <t>Category</t>
        </is>
      </c>
      <c r="B12" s="13" t="inlineStr">
        <is>
          <t>Sites</t>
        </is>
      </c>
      <c r="C12" s="13" t="inlineStr">
        <is>
          <t>% of Working</t>
        </is>
      </c>
    </row>
    <row r="13">
      <c r="A13" s="6" t="inlineStr">
        <is>
          <t>&lt; 20 L/day</t>
        </is>
      </c>
      <c r="B13" s="14" t="n">
        <v>3</v>
      </c>
      <c r="C13" s="14" t="inlineStr">
        <is>
          <t>18%</t>
        </is>
      </c>
    </row>
    <row r="14">
      <c r="A14" s="6" t="inlineStr">
        <is>
          <t>20-30 L/day</t>
        </is>
      </c>
      <c r="B14" s="14" t="n">
        <v>2</v>
      </c>
      <c r="C14" s="14" t="inlineStr">
        <is>
          <t>12%</t>
        </is>
      </c>
    </row>
    <row r="15">
      <c r="A15" s="6" t="inlineStr">
        <is>
          <t>30-40 L/day</t>
        </is>
      </c>
      <c r="B15" s="14" t="n">
        <v>2</v>
      </c>
      <c r="C15" s="14" t="inlineStr">
        <is>
          <t>12%</t>
        </is>
      </c>
    </row>
    <row r="16">
      <c r="A16" s="6" t="inlineStr">
        <is>
          <t>40-50 L/day</t>
        </is>
      </c>
      <c r="B16" s="14" t="n">
        <v>4</v>
      </c>
      <c r="C16" s="14" t="inlineStr">
        <is>
          <t>24%</t>
        </is>
      </c>
    </row>
    <row r="17">
      <c r="A17" s="6" t="inlineStr">
        <is>
          <t>&gt; 50 L/day</t>
        </is>
      </c>
      <c r="B17" s="14" t="n">
        <v>6</v>
      </c>
      <c r="C17" s="14" t="inlineStr">
        <is>
          <t>35%</t>
        </is>
      </c>
    </row>
    <row r="19">
      <c r="A19" s="12" t="inlineStr">
        <is>
          <t>Fuel by Region (L/day)</t>
        </is>
      </c>
      <c r="B19" s="4" t="n"/>
      <c r="C19" s="5" t="n"/>
    </row>
    <row r="20">
      <c r="A20" s="6" t="inlineStr">
        <is>
          <t>Red Sea</t>
        </is>
      </c>
      <c r="B20" s="14" t="n">
        <v>293.5</v>
      </c>
    </row>
    <row r="21">
      <c r="A21" s="6" t="inlineStr">
        <is>
          <t>Cairo East</t>
        </is>
      </c>
      <c r="B21" s="14" t="n">
        <v>165.1</v>
      </c>
    </row>
    <row r="22">
      <c r="A22" s="6" t="inlineStr">
        <is>
          <t>Giza</t>
        </is>
      </c>
      <c r="B22" s="14" t="n">
        <v>75.3</v>
      </c>
    </row>
    <row r="23">
      <c r="A23" s="6" t="inlineStr">
        <is>
          <t>North Upper</t>
        </is>
      </c>
      <c r="B23" s="14" t="n">
        <v>55.8</v>
      </c>
    </row>
    <row r="24">
      <c r="A24" s="6" t="inlineStr">
        <is>
          <t>Cairo South</t>
        </is>
      </c>
      <c r="B24" s="14" t="n">
        <v>42.6</v>
      </c>
    </row>
    <row r="25">
      <c r="A25" s="6" t="inlineStr">
        <is>
          <t>Sinai</t>
        </is>
      </c>
      <c r="B25" s="14" t="n">
        <v>0.1</v>
      </c>
    </row>
    <row r="27">
      <c r="A27" s="15" t="inlineStr">
        <is>
          <t>Mains Energy Consumption — All Sites</t>
        </is>
      </c>
      <c r="B27" s="4" t="n"/>
      <c r="C27" s="4" t="n"/>
      <c r="D27" s="4" t="n"/>
      <c r="E27" s="4" t="n"/>
      <c r="F27" s="5" t="n"/>
    </row>
    <row r="28">
      <c r="A28" s="6" t="inlineStr">
        <is>
          <t>Total Power Meters</t>
        </is>
      </c>
      <c r="B28" s="10" t="n">
        <v>4390</v>
      </c>
    </row>
    <row r="29">
      <c r="A29" s="6" t="inlineStr">
        <is>
          <t>Working Meters</t>
        </is>
      </c>
      <c r="B29" s="8" t="n">
        <v>4300</v>
      </c>
    </row>
    <row r="30">
      <c r="A30" s="6" t="inlineStr">
        <is>
          <t>Faulty / No-data Meters</t>
        </is>
      </c>
      <c r="B30" s="9" t="n">
        <v>90</v>
      </c>
    </row>
    <row r="31">
      <c r="A31" s="6" t="inlineStr">
        <is>
          <t>Total Monthly kWh</t>
        </is>
      </c>
      <c r="B31" s="7" t="n">
        <v>9876792</v>
      </c>
    </row>
    <row r="32">
      <c r="A32" s="6" t="inlineStr">
        <is>
          <t>Avg Daily kWh/site (working)</t>
        </is>
      </c>
      <c r="B32" s="11" t="n">
        <v>77.8</v>
      </c>
    </row>
    <row r="34">
      <c r="A34" s="12" t="inlineStr">
        <is>
          <t>Consumed Power Buckets (kWh/day)</t>
        </is>
      </c>
      <c r="B34" s="4" t="n"/>
      <c r="C34" s="4" t="n"/>
      <c r="D34" s="5" t="n"/>
    </row>
    <row r="35">
      <c r="A35" s="13" t="inlineStr">
        <is>
          <t>Category</t>
        </is>
      </c>
      <c r="B35" s="13" t="inlineStr">
        <is>
          <t>No. of Sites</t>
        </is>
      </c>
      <c r="C35" s="13" t="inlineStr">
        <is>
          <t>% of Working</t>
        </is>
      </c>
    </row>
    <row r="36">
      <c r="A36" s="6" t="inlineStr">
        <is>
          <t>Faulty / No-data</t>
        </is>
      </c>
      <c r="B36" s="16" t="n">
        <v>90</v>
      </c>
    </row>
    <row r="37">
      <c r="A37" s="6" t="inlineStr">
        <is>
          <t>1-25 kWh/day</t>
        </is>
      </c>
      <c r="B37" s="14" t="n">
        <v>338</v>
      </c>
      <c r="C37" s="14" t="inlineStr">
        <is>
          <t>8%</t>
        </is>
      </c>
    </row>
    <row r="38">
      <c r="A38" s="6" t="inlineStr">
        <is>
          <t>25-50 kWh/day</t>
        </is>
      </c>
      <c r="B38" s="14" t="n">
        <v>739</v>
      </c>
      <c r="C38" s="14" t="inlineStr">
        <is>
          <t>17%</t>
        </is>
      </c>
    </row>
    <row r="39">
      <c r="A39" s="6" t="inlineStr">
        <is>
          <t>50-75 kWh/day</t>
        </is>
      </c>
      <c r="B39" s="14" t="n">
        <v>1159</v>
      </c>
      <c r="C39" s="14" t="inlineStr">
        <is>
          <t>27%</t>
        </is>
      </c>
    </row>
    <row r="40">
      <c r="A40" s="6" t="inlineStr">
        <is>
          <t>75-100 kWh/day</t>
        </is>
      </c>
      <c r="B40" s="14" t="n">
        <v>841</v>
      </c>
      <c r="C40" s="14" t="inlineStr">
        <is>
          <t>20%</t>
        </is>
      </c>
    </row>
    <row r="41">
      <c r="A41" s="6" t="inlineStr">
        <is>
          <t>100-125 kWh/day</t>
        </is>
      </c>
      <c r="B41" s="14" t="n">
        <v>493</v>
      </c>
      <c r="C41" s="14" t="inlineStr">
        <is>
          <t>11%</t>
        </is>
      </c>
    </row>
    <row r="42">
      <c r="A42" s="6" t="inlineStr">
        <is>
          <t>125-150 kWh/day</t>
        </is>
      </c>
      <c r="B42" s="14" t="n">
        <v>273</v>
      </c>
      <c r="C42" s="14" t="inlineStr">
        <is>
          <t>6%</t>
        </is>
      </c>
    </row>
    <row r="43">
      <c r="A43" s="6" t="inlineStr">
        <is>
          <t>&gt; 150 kWh/day</t>
        </is>
      </c>
      <c r="B43" s="14" t="n">
        <v>234</v>
      </c>
      <c r="C43" s="14" t="inlineStr">
        <is>
          <t>5%</t>
        </is>
      </c>
    </row>
  </sheetData>
  <mergeCells count="7">
    <mergeCell ref="A2:L2"/>
    <mergeCell ref="A19:C19"/>
    <mergeCell ref="A34:D34"/>
    <mergeCell ref="A1:L1"/>
    <mergeCell ref="A27:F27"/>
    <mergeCell ref="A4:F4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4" customWidth="1" min="4" max="4"/>
  </cols>
  <sheetData>
    <row r="1">
      <c r="B1" s="17" t="inlineStr">
        <is>
          <t>Fuel Consumption</t>
        </is>
      </c>
      <c r="D1" s="17" t="inlineStr">
        <is>
          <t>Count</t>
        </is>
      </c>
    </row>
    <row r="2">
      <c r="B2" s="18" t="inlineStr">
        <is>
          <t>Faulty</t>
        </is>
      </c>
      <c r="D2" s="19" t="n">
        <v>56</v>
      </c>
    </row>
    <row r="3">
      <c r="B3" s="18" t="inlineStr">
        <is>
          <t>&lt; 20 L/Day</t>
        </is>
      </c>
      <c r="D3" s="19" t="n">
        <v>3</v>
      </c>
    </row>
    <row r="4">
      <c r="B4" s="18" t="inlineStr">
        <is>
          <t>20 to 30 L/Day</t>
        </is>
      </c>
      <c r="D4" s="19" t="n">
        <v>2</v>
      </c>
    </row>
    <row r="5">
      <c r="B5" s="18" t="inlineStr">
        <is>
          <t>30 to 40 L/Day</t>
        </is>
      </c>
      <c r="D5" s="19" t="n">
        <v>2</v>
      </c>
    </row>
    <row r="6">
      <c r="B6" s="18" t="inlineStr">
        <is>
          <t>40 to 50 L/Day</t>
        </is>
      </c>
      <c r="D6" s="19" t="n">
        <v>4</v>
      </c>
    </row>
    <row r="7">
      <c r="B7" s="18" t="inlineStr">
        <is>
          <t>50 &lt; L/Day</t>
        </is>
      </c>
      <c r="D7" s="19" t="n">
        <v>6</v>
      </c>
    </row>
    <row r="8">
      <c r="B8" s="20" t="inlineStr">
        <is>
          <t>Total</t>
        </is>
      </c>
      <c r="D8" s="20" t="n">
        <v>73</v>
      </c>
    </row>
    <row r="20">
      <c r="B20" s="21" t="inlineStr">
        <is>
          <t>Power Meter</t>
        </is>
      </c>
    </row>
    <row r="21">
      <c r="B21" s="18" t="inlineStr">
        <is>
          <t>Faulty</t>
        </is>
      </c>
      <c r="C21" s="22" t="n">
        <v>90</v>
      </c>
    </row>
    <row r="22">
      <c r="B22" s="18" t="inlineStr">
        <is>
          <t>Working</t>
        </is>
      </c>
      <c r="C22" s="23" t="n">
        <v>4300</v>
      </c>
    </row>
    <row r="23">
      <c r="B23" s="20" t="inlineStr">
        <is>
          <t>Total</t>
        </is>
      </c>
      <c r="C23" s="20" t="n">
        <v>4390</v>
      </c>
    </row>
    <row r="35">
      <c r="B35" s="21" t="inlineStr">
        <is>
          <t>Consumed Power (KWH)</t>
        </is>
      </c>
      <c r="C35" s="21" t="inlineStr">
        <is>
          <t>Number of Sites</t>
        </is>
      </c>
    </row>
    <row r="36">
      <c r="B36" s="18" t="inlineStr">
        <is>
          <t>Faulty</t>
        </is>
      </c>
      <c r="C36" s="22" t="n">
        <v>90</v>
      </c>
    </row>
    <row r="37">
      <c r="B37" s="18" t="inlineStr">
        <is>
          <t>1-25 kWh/day</t>
        </is>
      </c>
      <c r="C37" s="19" t="n">
        <v>338</v>
      </c>
    </row>
    <row r="38">
      <c r="B38" s="18" t="inlineStr">
        <is>
          <t>25-50 kWh/day</t>
        </is>
      </c>
      <c r="C38" s="19" t="n">
        <v>739</v>
      </c>
    </row>
    <row r="39">
      <c r="B39" s="18" t="inlineStr">
        <is>
          <t>50-75 kWh/day</t>
        </is>
      </c>
      <c r="C39" s="19" t="n">
        <v>1159</v>
      </c>
    </row>
    <row r="40">
      <c r="B40" s="18" t="inlineStr">
        <is>
          <t>75-100 kWh/day</t>
        </is>
      </c>
      <c r="C40" s="19" t="n">
        <v>841</v>
      </c>
    </row>
    <row r="41">
      <c r="B41" s="18" t="inlineStr">
        <is>
          <t>100-125 kWh/day</t>
        </is>
      </c>
      <c r="C41" s="19" t="n">
        <v>493</v>
      </c>
    </row>
    <row r="42">
      <c r="B42" s="18" t="inlineStr">
        <is>
          <t>125-150 kWh/day</t>
        </is>
      </c>
      <c r="C42" s="19" t="n">
        <v>273</v>
      </c>
    </row>
    <row r="43">
      <c r="B43" s="18" t="inlineStr">
        <is>
          <t>&gt; 150 kWh/day</t>
        </is>
      </c>
      <c r="C43" s="19" t="n">
        <v>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24" t="inlineStr">
        <is>
          <t>Power Alarms — Weekly Trend</t>
        </is>
      </c>
    </row>
    <row r="2">
      <c r="A2" s="13" t="inlineStr">
        <is>
          <t>Week</t>
        </is>
      </c>
      <c r="B2" s="13" t="inlineStr">
        <is>
          <t>All</t>
        </is>
      </c>
      <c r="C2" s="13" t="inlineStr">
        <is>
          <t>0-1 Hr</t>
        </is>
      </c>
      <c r="D2" s="13" t="inlineStr">
        <is>
          <t>1-2 Hr</t>
        </is>
      </c>
      <c r="E2" s="13" t="inlineStr">
        <is>
          <t>2-3 Hr</t>
        </is>
      </c>
      <c r="F2" s="13" t="inlineStr">
        <is>
          <t>&gt;3 Hrs</t>
        </is>
      </c>
      <c r="G2" s="13" t="inlineStr">
        <is>
          <t>Power</t>
        </is>
      </c>
      <c r="H2" s="13" t="inlineStr">
        <is>
          <t>Down</t>
        </is>
      </c>
    </row>
    <row r="3">
      <c r="A3" s="14" t="inlineStr">
        <is>
          <t>W28-2026</t>
        </is>
      </c>
      <c r="B3" s="14" t="n">
        <v>16607</v>
      </c>
      <c r="C3" s="14" t="n">
        <v>15228</v>
      </c>
      <c r="D3" s="14" t="n">
        <v>560</v>
      </c>
      <c r="E3" s="14" t="n">
        <v>312</v>
      </c>
      <c r="F3" s="14" t="n">
        <v>507</v>
      </c>
      <c r="G3" s="14" t="n">
        <v>16607</v>
      </c>
      <c r="H3" s="14" t="n">
        <v>20074</v>
      </c>
    </row>
    <row r="4">
      <c r="A4" s="14" t="inlineStr">
        <is>
          <t>W29-2026</t>
        </is>
      </c>
      <c r="B4" s="14" t="n">
        <v>15131</v>
      </c>
      <c r="C4" s="14" t="n">
        <v>13733</v>
      </c>
      <c r="D4" s="14" t="n">
        <v>563</v>
      </c>
      <c r="E4" s="14" t="n">
        <v>333</v>
      </c>
      <c r="F4" s="14" t="n">
        <v>502</v>
      </c>
      <c r="G4" s="14" t="n">
        <v>15133</v>
      </c>
      <c r="H4" s="14" t="n">
        <v>20645</v>
      </c>
    </row>
    <row r="5">
      <c r="A5" s="14" t="inlineStr">
        <is>
          <t>W30-2026</t>
        </is>
      </c>
      <c r="B5" s="14" t="n">
        <v>16496</v>
      </c>
      <c r="C5" s="14" t="n">
        <v>14768</v>
      </c>
      <c r="D5" s="14" t="n">
        <v>731</v>
      </c>
      <c r="E5" s="14" t="n">
        <v>387</v>
      </c>
      <c r="F5" s="14" t="n">
        <v>610</v>
      </c>
      <c r="G5" s="14" t="n">
        <v>16496</v>
      </c>
      <c r="H5" s="14" t="n">
        <v>28473</v>
      </c>
    </row>
    <row r="6">
      <c r="A6" s="14" t="inlineStr">
        <is>
          <t>W31-2026</t>
        </is>
      </c>
      <c r="B6" s="14" t="n">
        <v>19153</v>
      </c>
      <c r="C6" s="14" t="n">
        <v>17659</v>
      </c>
      <c r="D6" s="14" t="n">
        <v>640</v>
      </c>
      <c r="E6" s="14" t="n">
        <v>325</v>
      </c>
      <c r="F6" s="14" t="n">
        <v>529</v>
      </c>
      <c r="G6" s="14" t="n">
        <v>19153</v>
      </c>
      <c r="H6" s="14" t="n">
        <v>20804</v>
      </c>
    </row>
    <row r="7">
      <c r="A7" s="25" t="inlineStr">
        <is>
          <t>TOTAL</t>
        </is>
      </c>
      <c r="B7" s="26" t="n">
        <v>67387</v>
      </c>
      <c r="C7" s="26" t="n">
        <v>61388</v>
      </c>
      <c r="D7" s="26" t="n">
        <v>2494</v>
      </c>
      <c r="E7" s="26" t="n">
        <v>1357</v>
      </c>
      <c r="F7" s="26" t="n">
        <v>2148</v>
      </c>
      <c r="G7" s="26" t="n">
        <v>67389</v>
      </c>
      <c r="H7" s="26" t="n">
        <v>89996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2026-08-06T09:42:04Z</dcterms:created>
  <dcterms:modified xsi:type="dcterms:W3CDTF">2026-08-06T09:42:04Z</dcterms:modified>
</cp:coreProperties>
</file>